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lhi-PS-CRM\QuotationSheet\"/>
    </mc:Choice>
  </mc:AlternateContent>
  <xr:revisionPtr revIDLastSave="0" documentId="13_ncr:1_{4354CD33-15F4-43BC-A25B-4BD6D11086FE}" xr6:coauthVersionLast="47" xr6:coauthVersionMax="47" xr10:uidLastSave="{00000000-0000-0000-0000-000000000000}"/>
  <bookViews>
    <workbookView xWindow="3768" yWindow="3768" windowWidth="17280" windowHeight="8964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9" i="1" l="1"/>
  <c r="G78" i="1"/>
  <c r="G77" i="1"/>
  <c r="G76" i="1"/>
  <c r="G75" i="1"/>
  <c r="G74" i="1"/>
  <c r="G73" i="1"/>
  <c r="G72" i="1"/>
  <c r="G71" i="1"/>
  <c r="G70" i="1"/>
  <c r="G69" i="1"/>
  <c r="G68" i="1"/>
  <c r="G67" i="1"/>
  <c r="G65" i="1"/>
  <c r="G64" i="1"/>
  <c r="G63" i="1"/>
  <c r="G62" i="1"/>
  <c r="G61" i="1"/>
  <c r="G60" i="1"/>
  <c r="G59" i="1"/>
  <c r="G58" i="1"/>
  <c r="G57" i="1"/>
  <c r="G56" i="1"/>
  <c r="G55" i="1"/>
  <c r="G54" i="1"/>
  <c r="G5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31" i="1" l="1"/>
  <c r="G40" i="1"/>
  <c r="F15" i="1" s="1"/>
  <c r="G53" i="1"/>
  <c r="F16" i="1" s="1"/>
  <c r="G66" i="1"/>
  <c r="F17" i="1" s="1"/>
  <c r="G80" i="1"/>
  <c r="F14" i="1"/>
  <c r="B91" i="1"/>
  <c r="B89" i="1"/>
  <c r="F20" i="1"/>
  <c r="B88" i="1"/>
  <c r="B87" i="1"/>
  <c r="F18" i="1"/>
  <c r="B86" i="1" l="1"/>
  <c r="F19" i="1"/>
</calcChain>
</file>

<file path=xl/sharedStrings.xml><?xml version="1.0" encoding="utf-8"?>
<sst xmlns="http://schemas.openxmlformats.org/spreadsheetml/2006/main" count="335" uniqueCount="171">
  <si>
    <t>Delhi PS-CRM — Project Cost Quotation</t>
  </si>
  <si>
    <t>AI-Powered WhatsApp Civic Complaint Management System</t>
  </si>
  <si>
    <t>Team: 5Baddies | Document: Cost Quotation v2.0 | Excluding all applicable taxes | All prices in INR</t>
  </si>
  <si>
    <t>SECTION 1 — PROJECT OVERVIEW HEADER</t>
  </si>
  <si>
    <t>Target Scale:</t>
  </si>
  <si>
    <t>1,00,000 complaints/month across 272 Delhi wards</t>
  </si>
  <si>
    <t>Technology Stack:</t>
  </si>
  <si>
    <t>FastAPI, Gemini 2.5 Flash-Lite, Gradient Boosting ML, Azure Cloud, WhatsApp Business API, SendGrid</t>
  </si>
  <si>
    <t>Deployment Timeline:</t>
  </si>
  <si>
    <t>2 months</t>
  </si>
  <si>
    <t>Languages Supported:</t>
  </si>
  <si>
    <t>Hindi and English</t>
  </si>
  <si>
    <t>SECTION 2 — PHASE-WISE COST SUMMARY</t>
  </si>
  <si>
    <t>Phase</t>
  </si>
  <si>
    <t>Duration</t>
  </si>
  <si>
    <t>Description</t>
  </si>
  <si>
    <t>Key Activities</t>
  </si>
  <si>
    <t>Est. Complaints/Month</t>
  </si>
  <si>
    <t>Phase Cost (Rs.)</t>
  </si>
  <si>
    <t>Phase 1</t>
  </si>
  <si>
    <t>Weeks 1-2</t>
  </si>
  <si>
    <t>Development and Testing</t>
  </si>
  <si>
    <t>Backend complete, WhatsApp bot on test numbers, ML model integrated, staging environment, internal QA</t>
  </si>
  <si>
    <t>0</t>
  </si>
  <si>
    <t>Phase 2</t>
  </si>
  <si>
    <t>Weeks 3-4</t>
  </si>
  <si>
    <t>Pilot Deployment</t>
  </si>
  <si>
    <t>Live in 5 Delhi wards, real citizen complaints, bug fixes, officer onboarding</t>
  </si>
  <si>
    <t>1,000</t>
  </si>
  <si>
    <t>Phase 3</t>
  </si>
  <si>
    <t>Weeks 5-6</t>
  </si>
  <si>
    <t>Partial Rollout</t>
  </si>
  <si>
    <t>Expand to 50 wards, department routing live, ML escalation running on real data</t>
  </si>
  <si>
    <t>20,000</t>
  </si>
  <si>
    <t>Phase 4</t>
  </si>
  <si>
    <t>Weeks 7-8</t>
  </si>
  <si>
    <t>Full Delhi Deployment</t>
  </si>
  <si>
    <t>All 272 wards live, 75,000 complaints/month, full system operational</t>
  </si>
  <si>
    <t>75,000</t>
  </si>
  <si>
    <t>Phase 5</t>
  </si>
  <si>
    <t>Month 3 onwards</t>
  </si>
  <si>
    <t>Steady State Operations</t>
  </si>
  <si>
    <t>Handed to Delhi government IT team. Maintenance only, quarterly ML retraining</t>
  </si>
  <si>
    <t>1,00,000</t>
  </si>
  <si>
    <t>Total Project Cost Phases 1-4</t>
  </si>
  <si>
    <t>Annual Maintenance from Month 3</t>
  </si>
  <si>
    <t>SECTION 3 — DETAILED LINE-ITEM BREAKDOWN</t>
  </si>
  <si>
    <t>Category</t>
  </si>
  <si>
    <t>Item</t>
  </si>
  <si>
    <t>Specifications and Details</t>
  </si>
  <si>
    <t>Quantity / Duration</t>
  </si>
  <si>
    <t>Unit Cost (Rs.)</t>
  </si>
  <si>
    <t>Total Cost (Rs.)</t>
  </si>
  <si>
    <t>Notes</t>
  </si>
  <si>
    <t>Team</t>
  </si>
  <si>
    <t>Student Developer Stipends</t>
  </si>
  <si>
    <t>5 students × 2 weeks (0.5 month) @ Rs. 18,000/person/month</t>
  </si>
  <si>
    <t>Rs. 18,000/person/month × 0.5 month × 5 students = Rs. 45,000</t>
  </si>
  <si>
    <t>Infrastructure</t>
  </si>
  <si>
    <t>Azure Container Apps Staging</t>
  </si>
  <si>
    <t>Staging FastAPI backend for internal testing</t>
  </si>
  <si>
    <t>Minimal staging instance</t>
  </si>
  <si>
    <t>Azure Database for PostgreSQL Staging</t>
  </si>
  <si>
    <t>Managed database for development and testing</t>
  </si>
  <si>
    <t>Burstable B1ms tier</t>
  </si>
  <si>
    <t>Testing</t>
  </si>
  <si>
    <t>WhatsApp API Sandbox</t>
  </si>
  <si>
    <t>Meta WhatsApp Business API test numbers and sandbox</t>
  </si>
  <si>
    <t>Test message costs</t>
  </si>
  <si>
    <t>API Integration Testing</t>
  </si>
  <si>
    <t>Gemini API test calls, SendGrid test emails, staging instance</t>
  </si>
  <si>
    <t>All third-party API test costs</t>
  </si>
  <si>
    <t>Gemini Audio API Testing</t>
  </si>
  <si>
    <t>Voice note transcription and classification testing via Gemini Audio API</t>
  </si>
  <si>
    <t>Audio API test costs for voice complaints</t>
  </si>
  <si>
    <t>Contingency</t>
  </si>
  <si>
    <t>Contingency Reserve</t>
  </si>
  <si>
    <t>Buffer for unexpected API overages, infra spikes, or integration issues</t>
  </si>
  <si>
    <t>~5% of phase operational costs</t>
  </si>
  <si>
    <t>Phase 1 Subtotal</t>
  </si>
  <si>
    <t>Azure Container Apps</t>
  </si>
  <si>
    <t>Live backend for 5-ward pilot</t>
  </si>
  <si>
    <t>Small instance</t>
  </si>
  <si>
    <t>Azure Database for PostgreSQL</t>
  </si>
  <si>
    <t>Live database for pilot</t>
  </si>
  <si>
    <t>Burstable tier</t>
  </si>
  <si>
    <t>Azure Blob Storage</t>
  </si>
  <si>
    <t>Photo evidence for pilot complaints</t>
  </si>
  <si>
    <t>Minimal at 1K complaints</t>
  </si>
  <si>
    <t>AI and ML</t>
  </si>
  <si>
    <t>Gemini 2.5 Flash-Lite API</t>
  </si>
  <si>
    <t>AI classification for 1,000 pilot complaints</t>
  </si>
  <si>
    <t>$0.10/M input + $0.40/M output @ 84 INR/USD, 30% voice mix = Rs. 0.05/call</t>
  </si>
  <si>
    <t>Communication</t>
  </si>
  <si>
    <t>WhatsApp Business API</t>
  </si>
  <si>
    <t>Live messaging for 5-ward pilot</t>
  </si>
  <si>
    <t>Service convos FREE (citizen-initiated 24h window). Rs. 0.145/utility template × 2 notifs × 20% outside window = Rs. 0.058/complaint</t>
  </si>
  <si>
    <t>SendGrid</t>
  </si>
  <si>
    <t>Department notification emails</t>
  </si>
  <si>
    <t>Free tier covers 1K emails</t>
  </si>
  <si>
    <t>Phase 2 Subtotal</t>
  </si>
  <si>
    <t>Scaled backend for 50 wards</t>
  </si>
  <si>
    <t>Medium instance</t>
  </si>
  <si>
    <t>Azure Database for PostgreSQL Flexible</t>
  </si>
  <si>
    <t>Production-grade database with backups</t>
  </si>
  <si>
    <t>General Purpose tier</t>
  </si>
  <si>
    <t>40GB photo storage at 20K complaints</t>
  </si>
  <si>
    <t>LRS redundancy</t>
  </si>
  <si>
    <t>Azure Monitor</t>
  </si>
  <si>
    <t>Observability and alerting</t>
  </si>
  <si>
    <t>Required for SLA</t>
  </si>
  <si>
    <t>Azure Service Bus</t>
  </si>
  <si>
    <t>Webhook event queuing at 20K/month</t>
  </si>
  <si>
    <t>Standard tier</t>
  </si>
  <si>
    <t>AI classification for 20,000 complaints</t>
  </si>
  <si>
    <t>Rs. 0.012/call avg with voice mix, rounded up</t>
  </si>
  <si>
    <t>Azure Machine Learning</t>
  </si>
  <si>
    <t>First retraining run on real pilot data</t>
  </si>
  <si>
    <t>Gradient Boosting retraining</t>
  </si>
  <si>
    <t>Messaging for 50-ward citizens</t>
  </si>
  <si>
    <t>2 utility templates × 20% outside 24h window × Rs. 0.145 = Rs. 0.058/complaint</t>
  </si>
  <si>
    <t>SendGrid Essentials 50K</t>
  </si>
  <si>
    <t>$19.95/mo = Rs. 1,676/mo</t>
  </si>
  <si>
    <t>Essentials plan</t>
  </si>
  <si>
    <t>Azure Front Door CDN</t>
  </si>
  <si>
    <t>Officer dashboard CDN, domain, SSL</t>
  </si>
  <si>
    <t>Dashboard goes live</t>
  </si>
  <si>
    <t>Phase 3 Subtotal</t>
  </si>
  <si>
    <t>Full-scale auto-scaling for 272 wards</t>
  </si>
  <si>
    <t>Production with zone redundancy</t>
  </si>
  <si>
    <t>High-availability production DB with geo-redundant backups and Indian data residency compliance</t>
  </si>
  <si>
    <t>Business Critical tier</t>
  </si>
  <si>
    <t>200GB photo storage at 1L complaints/month</t>
  </si>
  <si>
    <t>GRS geo-redundant</t>
  </si>
  <si>
    <t>Full production observability with custom dashboards</t>
  </si>
  <si>
    <t>90-day log retention</t>
  </si>
  <si>
    <t>Premium tier guaranteed delivery at 1L/month</t>
  </si>
  <si>
    <t>Premium tier</t>
  </si>
  <si>
    <t>Full production CDN with WAF and DDoS protection</t>
  </si>
  <si>
    <t>WAF enabled</t>
  </si>
  <si>
    <t>Full-scale classification at 75,000 complaints/month</t>
  </si>
  <si>
    <t>Full scale with 30% voice mix</t>
  </si>
  <si>
    <t>Second retraining on expanded real complaint dataset</t>
  </si>
  <si>
    <t>Accuracy improves with real data</t>
  </si>
  <si>
    <t>Full Delhi citizen messaging at 75K conversations/month</t>
  </si>
  <si>
    <t>Peak communication cost</t>
  </si>
  <si>
    <t>SendGrid Essentials 100K</t>
  </si>
  <si>
    <t>$34.95/mo = Rs. 2,940/mo</t>
  </si>
  <si>
    <t>Pro plan</t>
  </si>
  <si>
    <t>Phase 4 Subtotal</t>
  </si>
  <si>
    <t>per month</t>
  </si>
  <si>
    <t>Recurring</t>
  </si>
  <si>
    <t>per month amortized</t>
  </si>
  <si>
    <t>Quarterly retraining</t>
  </si>
  <si>
    <t>Azure backup and compliance</t>
  </si>
  <si>
    <t>Azure Monitor log analytics</t>
  </si>
  <si>
    <t>Phase 5 Subtotal</t>
  </si>
  <si>
    <t>SECTION 4 — UNIT ECONOMICS</t>
  </si>
  <si>
    <t>Unit Economics and Value Justification</t>
  </si>
  <si>
    <t>Metric</t>
  </si>
  <si>
    <t>Value</t>
  </si>
  <si>
    <t>Total deployment cost Phases 1-4</t>
  </si>
  <si>
    <t>Annual steady state cost Year 2</t>
  </si>
  <si>
    <t>Cost per ward per month at full scale</t>
  </si>
  <si>
    <t>Cost per complaint at full scale</t>
  </si>
  <si>
    <t>Citizens served estimate</t>
  </si>
  <si>
    <t>Cost per citizen per year</t>
  </si>
  <si>
    <t>Wards covered at full deployment</t>
  </si>
  <si>
    <t>Languages supported</t>
  </si>
  <si>
    <t>Complaints processed per year estimate</t>
  </si>
  <si>
    <t>Cost per complaint includes AI classification (with voice note support via Gemini 2.5 Flash-Lite), WhatsApp messaging, cloud infrastructure, email notifications, and ML-based auto-escalation — delivered at a fraction of the cost of traditional call-centre based grievance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</si>
</sst>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##,##0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sz val="12"/>
      <color rgb="FF1F3864"/>
      <name val="Calibri"/>
    </font>
    <font>
      <sz val="11"/>
      <color rgb="FF1F3864"/>
      <name val="Calibri"/>
    </font>
    <font>
      <b/>
      <sz val="13"/>
      <color rgb="FFFFFFFF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386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F8A"/>
      </patternFill>
    </fill>
    <fill>
      <patternFill patternType="solid">
        <fgColor rgb="FFEBF3FF"/>
      </patternFill>
    </fill>
    <fill>
      <patternFill patternType="solid">
        <fgColor rgb="FFBDD7EE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ck">
        <color rgb="FF1F3864"/>
      </left>
      <right/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/>
      <right style="thick">
        <color rgb="FF1F3864"/>
      </right>
      <top style="thick">
        <color rgb="FF1F3864"/>
      </top>
      <bottom/>
      <diagonal/>
    </border>
    <border>
      <left style="thick">
        <color rgb="FF1F38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ck">
        <color rgb="FF1F3864"/>
      </right>
      <top style="thin">
        <color rgb="FFA6A6A6"/>
      </top>
      <bottom style="thin">
        <color rgb="FFA6A6A6"/>
      </bottom>
      <diagonal/>
    </border>
    <border>
      <left style="thick">
        <color rgb="FF1F3864"/>
      </left>
      <right style="thin">
        <color rgb="FFA6A6A6"/>
      </right>
      <top style="thin">
        <color rgb="FFA6A6A6"/>
      </top>
      <bottom style="thick">
        <color rgb="FF1F38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ck">
        <color rgb="FF1F3864"/>
      </bottom>
      <diagonal/>
    </border>
    <border>
      <left style="thin">
        <color rgb="FFA6A6A6"/>
      </left>
      <right style="thick">
        <color rgb="FF1F3864"/>
      </right>
      <top style="thin">
        <color rgb="FFA6A6A6"/>
      </top>
      <bottom style="thick">
        <color rgb="FF1F3864"/>
      </bottom>
      <diagonal/>
    </border>
    <border>
      <left style="thick">
        <color rgb="FF1F3864"/>
      </left>
      <right/>
      <top/>
      <bottom/>
      <diagonal/>
    </border>
    <border>
      <left/>
      <right/>
      <top/>
      <bottom/>
      <diagonal/>
    </border>
    <border>
      <left/>
      <right style="thick">
        <color rgb="FF1F38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left" vertical="top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5" fontId="0" fillId="0" borderId="6" xfId="0" applyNumberFormat="1" applyBorder="1" applyAlignment="1">
      <alignment horizontal="righ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right" vertical="top" wrapText="1"/>
    </xf>
    <xf numFmtId="165" fontId="0" fillId="4" borderId="6" xfId="0" applyNumberFormat="1" applyFill="1" applyBorder="1" applyAlignment="1">
      <alignment horizontal="right" vertical="top" wrapText="1"/>
    </xf>
    <xf numFmtId="165" fontId="7" fillId="0" borderId="6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0" fontId="0" fillId="0" borderId="6" xfId="0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top" wrapText="1"/>
    </xf>
    <xf numFmtId="3" fontId="0" fillId="4" borderId="1" xfId="0" applyNumberFormat="1" applyFill="1" applyBorder="1" applyAlignment="1">
      <alignment horizontal="right" vertical="top" wrapText="1"/>
    </xf>
    <xf numFmtId="0" fontId="0" fillId="4" borderId="6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165" fontId="7" fillId="5" borderId="1" xfId="0" applyNumberFormat="1" applyFont="1" applyFill="1" applyBorder="1" applyAlignment="1">
      <alignment horizontal="right" vertical="top" wrapText="1"/>
    </xf>
    <xf numFmtId="0" fontId="0" fillId="5" borderId="6" xfId="0" applyFill="1" applyBorder="1"/>
    <xf numFmtId="165" fontId="7" fillId="5" borderId="8" xfId="0" applyNumberFormat="1" applyFont="1" applyFill="1" applyBorder="1" applyAlignment="1">
      <alignment horizontal="right" vertical="top" wrapText="1"/>
    </xf>
    <xf numFmtId="0" fontId="0" fillId="5" borderId="9" xfId="0" applyFill="1" applyBorder="1"/>
    <xf numFmtId="0" fontId="0" fillId="0" borderId="5" xfId="0" applyBorder="1"/>
    <xf numFmtId="0" fontId="0" fillId="4" borderId="5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ill="1" applyBorder="1"/>
    <xf numFmtId="0" fontId="0" fillId="2" borderId="4" xfId="0" applyFill="1" applyBorder="1"/>
    <xf numFmtId="0" fontId="7" fillId="5" borderId="5" xfId="0" applyFont="1" applyFill="1" applyBorder="1" applyAlignment="1">
      <alignment horizontal="left" vertical="top" wrapText="1"/>
    </xf>
    <xf numFmtId="0" fontId="0" fillId="0" borderId="1" xfId="0" applyBorder="1"/>
    <xf numFmtId="0" fontId="7" fillId="5" borderId="7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8" xfId="0" applyBorder="1" applyAlignment="1">
      <alignment horizontal="left" vertical="top" wrapText="1"/>
    </xf>
    <xf numFmtId="0" fontId="0" fillId="0" borderId="9" xfId="0" applyBorder="1"/>
    <xf numFmtId="165" fontId="0" fillId="0" borderId="1" xfId="0" applyNumberFormat="1" applyBorder="1" applyAlignment="1">
      <alignment horizontal="right" vertical="top" wrapText="1"/>
    </xf>
    <xf numFmtId="0" fontId="0" fillId="0" borderId="6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0" borderId="5" xfId="0" applyFon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right" vertical="top" wrapText="1"/>
    </xf>
    <xf numFmtId="0" fontId="0" fillId="4" borderId="1" xfId="0" applyFill="1" applyBorder="1"/>
    <xf numFmtId="0" fontId="0" fillId="4" borderId="6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/>
    <xf numFmtId="0" fontId="0" fillId="0" borderId="1" xfId="0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top" wrapText="1"/>
    </xf>
    <xf numFmtId="165" fontId="0" fillId="4" borderId="1" xfId="0" applyNumberForma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70" customWidth="1"/>
    <col min="2" max="2" width="19" customWidth="1"/>
    <col min="3" max="4" width="70" customWidth="1"/>
    <col min="5" max="5" width="23" customWidth="1"/>
    <col min="6" max="7" width="18" customWidth="1"/>
    <col min="8" max="8" width="70" customWidth="1"/>
  </cols>
  <sheetData>
    <row r="1" spans="1:8" ht="25.95" customHeight="1" x14ac:dyDescent="0.3">
      <c r="A1" s="40" t="s">
        <v>0</v>
      </c>
      <c r="B1" s="41"/>
      <c r="C1" s="41"/>
      <c r="D1" s="41"/>
      <c r="E1" s="41"/>
      <c r="F1" s="41"/>
      <c r="G1" s="41"/>
      <c r="H1" s="41"/>
    </row>
    <row r="2" spans="1:8" ht="19.95" customHeight="1" x14ac:dyDescent="0.3">
      <c r="A2" s="54" t="s">
        <v>1</v>
      </c>
      <c r="B2" s="41"/>
      <c r="C2" s="41"/>
      <c r="D2" s="41"/>
      <c r="E2" s="41"/>
      <c r="F2" s="41"/>
      <c r="G2" s="41"/>
      <c r="H2" s="41"/>
    </row>
    <row r="3" spans="1:8" ht="18" customHeight="1" x14ac:dyDescent="0.3">
      <c r="A3" s="52" t="s">
        <v>2</v>
      </c>
      <c r="B3" s="41"/>
      <c r="C3" s="41"/>
      <c r="D3" s="41"/>
      <c r="E3" s="41"/>
      <c r="F3" s="41"/>
      <c r="G3" s="41"/>
      <c r="H3" s="41"/>
    </row>
    <row r="5" spans="1:8" x14ac:dyDescent="0.3">
      <c r="A5" s="29" t="s">
        <v>3</v>
      </c>
      <c r="B5" s="30"/>
      <c r="C5" s="30"/>
      <c r="D5" s="30"/>
      <c r="E5" s="30"/>
      <c r="F5" s="30"/>
      <c r="G5" s="30"/>
      <c r="H5" s="31"/>
    </row>
    <row r="6" spans="1:8" x14ac:dyDescent="0.3">
      <c r="A6" s="42" t="s">
        <v>4</v>
      </c>
      <c r="B6" s="33"/>
      <c r="C6" s="50" t="s">
        <v>5</v>
      </c>
      <c r="D6" s="33"/>
      <c r="E6" s="33"/>
      <c r="F6" s="33"/>
      <c r="G6" s="33"/>
      <c r="H6" s="39"/>
    </row>
    <row r="7" spans="1:8" x14ac:dyDescent="0.3">
      <c r="A7" s="42" t="s">
        <v>6</v>
      </c>
      <c r="B7" s="33"/>
      <c r="C7" s="50" t="s">
        <v>7</v>
      </c>
      <c r="D7" s="33"/>
      <c r="E7" s="33"/>
      <c r="F7" s="33"/>
      <c r="G7" s="33"/>
      <c r="H7" s="39"/>
    </row>
    <row r="8" spans="1:8" x14ac:dyDescent="0.3">
      <c r="A8" s="42" t="s">
        <v>8</v>
      </c>
      <c r="B8" s="33"/>
      <c r="C8" s="50" t="s">
        <v>9</v>
      </c>
      <c r="D8" s="33"/>
      <c r="E8" s="33"/>
      <c r="F8" s="33"/>
      <c r="G8" s="33"/>
      <c r="H8" s="39"/>
    </row>
    <row r="9" spans="1:8" x14ac:dyDescent="0.3">
      <c r="A9" s="55" t="s">
        <v>10</v>
      </c>
      <c r="B9" s="35"/>
      <c r="C9" s="36" t="s">
        <v>11</v>
      </c>
      <c r="D9" s="35"/>
      <c r="E9" s="35"/>
      <c r="F9" s="35"/>
      <c r="G9" s="35"/>
      <c r="H9" s="37"/>
    </row>
    <row r="12" spans="1:8" x14ac:dyDescent="0.3">
      <c r="A12" s="29" t="s">
        <v>12</v>
      </c>
      <c r="B12" s="30"/>
      <c r="C12" s="30"/>
      <c r="D12" s="30"/>
      <c r="E12" s="30"/>
      <c r="F12" s="31"/>
    </row>
    <row r="13" spans="1:8" x14ac:dyDescent="0.3">
      <c r="A13" s="2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4" t="s">
        <v>18</v>
      </c>
    </row>
    <row r="14" spans="1:8" ht="28.8" x14ac:dyDescent="0.3">
      <c r="A14" s="5" t="s">
        <v>19</v>
      </c>
      <c r="B14" s="1" t="s">
        <v>20</v>
      </c>
      <c r="C14" s="1" t="s">
        <v>21</v>
      </c>
      <c r="D14" s="1" t="s">
        <v>22</v>
      </c>
      <c r="E14" s="6" t="s">
        <v>23</v>
      </c>
      <c r="F14" s="7">
        <f>G31</f>
        <v>60750</v>
      </c>
    </row>
    <row r="15" spans="1:8" x14ac:dyDescent="0.3">
      <c r="A15" s="8" t="s">
        <v>24</v>
      </c>
      <c r="B15" s="9" t="s">
        <v>25</v>
      </c>
      <c r="C15" s="9" t="s">
        <v>26</v>
      </c>
      <c r="D15" s="9" t="s">
        <v>27</v>
      </c>
      <c r="E15" s="10" t="s">
        <v>28</v>
      </c>
      <c r="F15" s="11">
        <f>G40</f>
        <v>51250</v>
      </c>
    </row>
    <row r="16" spans="1:8" x14ac:dyDescent="0.3">
      <c r="A16" s="5" t="s">
        <v>29</v>
      </c>
      <c r="B16" s="1" t="s">
        <v>30</v>
      </c>
      <c r="C16" s="1" t="s">
        <v>31</v>
      </c>
      <c r="D16" s="1" t="s">
        <v>32</v>
      </c>
      <c r="E16" s="6" t="s">
        <v>33</v>
      </c>
      <c r="F16" s="7">
        <f>G53</f>
        <v>68588</v>
      </c>
    </row>
    <row r="17" spans="1:8" x14ac:dyDescent="0.3">
      <c r="A17" s="8" t="s">
        <v>34</v>
      </c>
      <c r="B17" s="9" t="s">
        <v>35</v>
      </c>
      <c r="C17" s="9" t="s">
        <v>36</v>
      </c>
      <c r="D17" s="9" t="s">
        <v>37</v>
      </c>
      <c r="E17" s="10" t="s">
        <v>38</v>
      </c>
      <c r="F17" s="11">
        <f>G66</f>
        <v>83370</v>
      </c>
    </row>
    <row r="18" spans="1:8" x14ac:dyDescent="0.3">
      <c r="A18" s="5" t="s">
        <v>39</v>
      </c>
      <c r="B18" s="1" t="s">
        <v>40</v>
      </c>
      <c r="C18" s="1" t="s">
        <v>41</v>
      </c>
      <c r="D18" s="1" t="s">
        <v>42</v>
      </c>
      <c r="E18" s="6" t="s">
        <v>43</v>
      </c>
      <c r="F18" s="7">
        <f>G80</f>
        <v>58890</v>
      </c>
    </row>
    <row r="19" spans="1:8" x14ac:dyDescent="0.3">
      <c r="A19" s="42" t="s">
        <v>44</v>
      </c>
      <c r="B19" s="33"/>
      <c r="C19" s="33"/>
      <c r="D19" s="33"/>
      <c r="E19" s="33"/>
      <c r="F19" s="12">
        <f>G31+G40+G53+G66</f>
        <v>263958</v>
      </c>
    </row>
    <row r="20" spans="1:8" x14ac:dyDescent="0.3">
      <c r="A20" s="55" t="s">
        <v>45</v>
      </c>
      <c r="B20" s="35"/>
      <c r="C20" s="35"/>
      <c r="D20" s="35"/>
      <c r="E20" s="35"/>
      <c r="F20" s="13">
        <f>G80*12</f>
        <v>706680</v>
      </c>
    </row>
    <row r="22" spans="1:8" x14ac:dyDescent="0.3">
      <c r="A22" s="29" t="s">
        <v>46</v>
      </c>
      <c r="B22" s="30"/>
      <c r="C22" s="30"/>
      <c r="D22" s="30"/>
      <c r="E22" s="30"/>
      <c r="F22" s="30"/>
      <c r="G22" s="30"/>
      <c r="H22" s="31"/>
    </row>
    <row r="23" spans="1:8" x14ac:dyDescent="0.3">
      <c r="A23" s="2" t="s">
        <v>13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52</v>
      </c>
      <c r="H23" s="4" t="s">
        <v>53</v>
      </c>
    </row>
    <row r="24" spans="1:8" x14ac:dyDescent="0.3">
      <c r="A24" s="5" t="s">
        <v>19</v>
      </c>
      <c r="B24" s="1" t="s">
        <v>54</v>
      </c>
      <c r="C24" s="1" t="s">
        <v>55</v>
      </c>
      <c r="D24" s="1" t="s">
        <v>56</v>
      </c>
      <c r="E24" s="14">
        <v>5</v>
      </c>
      <c r="F24" s="14">
        <v>9000</v>
      </c>
      <c r="G24" s="14">
        <f t="shared" ref="G24:G30" si="0">E24*F24</f>
        <v>45000</v>
      </c>
      <c r="H24" s="15" t="s">
        <v>57</v>
      </c>
    </row>
    <row r="25" spans="1:8" x14ac:dyDescent="0.3">
      <c r="A25" s="8" t="s">
        <v>19</v>
      </c>
      <c r="B25" s="9" t="s">
        <v>58</v>
      </c>
      <c r="C25" s="9" t="s">
        <v>59</v>
      </c>
      <c r="D25" s="9" t="s">
        <v>60</v>
      </c>
      <c r="E25" s="16">
        <v>0.5</v>
      </c>
      <c r="F25" s="17">
        <v>4000</v>
      </c>
      <c r="G25" s="17">
        <f t="shared" si="0"/>
        <v>2000</v>
      </c>
      <c r="H25" s="18" t="s">
        <v>61</v>
      </c>
    </row>
    <row r="26" spans="1:8" x14ac:dyDescent="0.3">
      <c r="A26" s="5" t="s">
        <v>19</v>
      </c>
      <c r="B26" s="1" t="s">
        <v>58</v>
      </c>
      <c r="C26" s="1" t="s">
        <v>62</v>
      </c>
      <c r="D26" s="1" t="s">
        <v>63</v>
      </c>
      <c r="E26" s="19">
        <v>0.5</v>
      </c>
      <c r="F26" s="14">
        <v>2500</v>
      </c>
      <c r="G26" s="14">
        <f t="shared" si="0"/>
        <v>1250</v>
      </c>
      <c r="H26" s="15" t="s">
        <v>64</v>
      </c>
    </row>
    <row r="27" spans="1:8" x14ac:dyDescent="0.3">
      <c r="A27" s="8" t="s">
        <v>19</v>
      </c>
      <c r="B27" s="9" t="s">
        <v>65</v>
      </c>
      <c r="C27" s="9" t="s">
        <v>66</v>
      </c>
      <c r="D27" s="9" t="s">
        <v>67</v>
      </c>
      <c r="E27" s="17">
        <v>1</v>
      </c>
      <c r="F27" s="17">
        <v>5000</v>
      </c>
      <c r="G27" s="17">
        <f t="shared" si="0"/>
        <v>5000</v>
      </c>
      <c r="H27" s="18" t="s">
        <v>68</v>
      </c>
    </row>
    <row r="28" spans="1:8" x14ac:dyDescent="0.3">
      <c r="A28" s="5" t="s">
        <v>19</v>
      </c>
      <c r="B28" s="1" t="s">
        <v>65</v>
      </c>
      <c r="C28" s="1" t="s">
        <v>69</v>
      </c>
      <c r="D28" s="1" t="s">
        <v>70</v>
      </c>
      <c r="E28" s="14">
        <v>1</v>
      </c>
      <c r="F28" s="14">
        <v>4000</v>
      </c>
      <c r="G28" s="14">
        <f t="shared" si="0"/>
        <v>4000</v>
      </c>
      <c r="H28" s="15" t="s">
        <v>71</v>
      </c>
    </row>
    <row r="29" spans="1:8" x14ac:dyDescent="0.3">
      <c r="A29" s="8" t="s">
        <v>19</v>
      </c>
      <c r="B29" s="9" t="s">
        <v>65</v>
      </c>
      <c r="C29" s="9" t="s">
        <v>72</v>
      </c>
      <c r="D29" s="9" t="s">
        <v>73</v>
      </c>
      <c r="E29" s="17">
        <v>1</v>
      </c>
      <c r="F29" s="17">
        <v>1000</v>
      </c>
      <c r="G29" s="17">
        <f t="shared" si="0"/>
        <v>1000</v>
      </c>
      <c r="H29" s="18" t="s">
        <v>74</v>
      </c>
    </row>
    <row r="30" spans="1:8" x14ac:dyDescent="0.3">
      <c r="A30" s="5" t="s">
        <v>19</v>
      </c>
      <c r="B30" s="1" t="s">
        <v>75</v>
      </c>
      <c r="C30" s="1" t="s">
        <v>76</v>
      </c>
      <c r="D30" s="1" t="s">
        <v>77</v>
      </c>
      <c r="E30" s="14">
        <v>1</v>
      </c>
      <c r="F30" s="14">
        <v>2500</v>
      </c>
      <c r="G30" s="14">
        <f t="shared" si="0"/>
        <v>2500</v>
      </c>
      <c r="H30" s="15" t="s">
        <v>78</v>
      </c>
    </row>
    <row r="31" spans="1:8" x14ac:dyDescent="0.3">
      <c r="A31" s="32" t="s">
        <v>79</v>
      </c>
      <c r="B31" s="33"/>
      <c r="C31" s="33"/>
      <c r="D31" s="33"/>
      <c r="E31" s="33"/>
      <c r="F31" s="33"/>
      <c r="G31" s="20">
        <f>SUM(G24:G30)</f>
        <v>60750</v>
      </c>
      <c r="H31" s="21"/>
    </row>
    <row r="32" spans="1:8" x14ac:dyDescent="0.3">
      <c r="A32" s="8" t="s">
        <v>24</v>
      </c>
      <c r="B32" s="9" t="s">
        <v>54</v>
      </c>
      <c r="C32" s="9" t="s">
        <v>55</v>
      </c>
      <c r="D32" s="9" t="s">
        <v>56</v>
      </c>
      <c r="E32" s="17">
        <v>5</v>
      </c>
      <c r="F32" s="17">
        <v>9000</v>
      </c>
      <c r="G32" s="17">
        <f t="shared" ref="G32:G39" si="1">E32*F32</f>
        <v>45000</v>
      </c>
      <c r="H32" s="18" t="s">
        <v>57</v>
      </c>
    </row>
    <row r="33" spans="1:8" x14ac:dyDescent="0.3">
      <c r="A33" s="5" t="s">
        <v>24</v>
      </c>
      <c r="B33" s="1" t="s">
        <v>58</v>
      </c>
      <c r="C33" s="1" t="s">
        <v>80</v>
      </c>
      <c r="D33" s="1" t="s">
        <v>81</v>
      </c>
      <c r="E33" s="19">
        <v>0.5</v>
      </c>
      <c r="F33" s="14">
        <v>4000</v>
      </c>
      <c r="G33" s="14">
        <f t="shared" si="1"/>
        <v>2000</v>
      </c>
      <c r="H33" s="15" t="s">
        <v>82</v>
      </c>
    </row>
    <row r="34" spans="1:8" x14ac:dyDescent="0.3">
      <c r="A34" s="8" t="s">
        <v>24</v>
      </c>
      <c r="B34" s="9" t="s">
        <v>58</v>
      </c>
      <c r="C34" s="9" t="s">
        <v>83</v>
      </c>
      <c r="D34" s="9" t="s">
        <v>84</v>
      </c>
      <c r="E34" s="16">
        <v>0.5</v>
      </c>
      <c r="F34" s="17">
        <v>2500</v>
      </c>
      <c r="G34" s="17">
        <f t="shared" si="1"/>
        <v>1250</v>
      </c>
      <c r="H34" s="18" t="s">
        <v>85</v>
      </c>
    </row>
    <row r="35" spans="1:8" x14ac:dyDescent="0.3">
      <c r="A35" s="5" t="s">
        <v>24</v>
      </c>
      <c r="B35" s="1" t="s">
        <v>58</v>
      </c>
      <c r="C35" s="1" t="s">
        <v>86</v>
      </c>
      <c r="D35" s="1" t="s">
        <v>87</v>
      </c>
      <c r="E35" s="19">
        <v>0.5</v>
      </c>
      <c r="F35" s="14">
        <v>500</v>
      </c>
      <c r="G35" s="14">
        <f t="shared" si="1"/>
        <v>250</v>
      </c>
      <c r="H35" s="15" t="s">
        <v>88</v>
      </c>
    </row>
    <row r="36" spans="1:8" x14ac:dyDescent="0.3">
      <c r="A36" s="8" t="s">
        <v>24</v>
      </c>
      <c r="B36" s="9" t="s">
        <v>89</v>
      </c>
      <c r="C36" s="9" t="s">
        <v>90</v>
      </c>
      <c r="D36" s="9" t="s">
        <v>91</v>
      </c>
      <c r="E36" s="17">
        <v>1000</v>
      </c>
      <c r="F36" s="16">
        <v>0.05</v>
      </c>
      <c r="G36" s="17">
        <f t="shared" si="1"/>
        <v>50</v>
      </c>
      <c r="H36" s="18" t="s">
        <v>92</v>
      </c>
    </row>
    <row r="37" spans="1:8" ht="28.8" x14ac:dyDescent="0.3">
      <c r="A37" s="5" t="s">
        <v>24</v>
      </c>
      <c r="B37" s="1" t="s">
        <v>93</v>
      </c>
      <c r="C37" s="1" t="s">
        <v>94</v>
      </c>
      <c r="D37" s="1" t="s">
        <v>95</v>
      </c>
      <c r="E37" s="14">
        <v>1000</v>
      </c>
      <c r="F37" s="19">
        <v>0.1</v>
      </c>
      <c r="G37" s="14">
        <f t="shared" si="1"/>
        <v>100</v>
      </c>
      <c r="H37" s="15" t="s">
        <v>96</v>
      </c>
    </row>
    <row r="38" spans="1:8" x14ac:dyDescent="0.3">
      <c r="A38" s="8" t="s">
        <v>24</v>
      </c>
      <c r="B38" s="9" t="s">
        <v>93</v>
      </c>
      <c r="C38" s="9" t="s">
        <v>97</v>
      </c>
      <c r="D38" s="9" t="s">
        <v>98</v>
      </c>
      <c r="E38" s="17">
        <v>1</v>
      </c>
      <c r="F38" s="17">
        <v>100</v>
      </c>
      <c r="G38" s="17">
        <f t="shared" si="1"/>
        <v>100</v>
      </c>
      <c r="H38" s="18" t="s">
        <v>99</v>
      </c>
    </row>
    <row r="39" spans="1:8" x14ac:dyDescent="0.3">
      <c r="A39" s="5" t="s">
        <v>24</v>
      </c>
      <c r="B39" s="1" t="s">
        <v>75</v>
      </c>
      <c r="C39" s="1" t="s">
        <v>76</v>
      </c>
      <c r="D39" s="1" t="s">
        <v>77</v>
      </c>
      <c r="E39" s="14">
        <v>1</v>
      </c>
      <c r="F39" s="14">
        <v>2500</v>
      </c>
      <c r="G39" s="14">
        <f t="shared" si="1"/>
        <v>2500</v>
      </c>
      <c r="H39" s="15" t="s">
        <v>78</v>
      </c>
    </row>
    <row r="40" spans="1:8" x14ac:dyDescent="0.3">
      <c r="A40" s="32" t="s">
        <v>100</v>
      </c>
      <c r="B40" s="33"/>
      <c r="C40" s="33"/>
      <c r="D40" s="33"/>
      <c r="E40" s="33"/>
      <c r="F40" s="33"/>
      <c r="G40" s="20">
        <f>SUM(G32:G39)</f>
        <v>51250</v>
      </c>
      <c r="H40" s="21"/>
    </row>
    <row r="41" spans="1:8" x14ac:dyDescent="0.3">
      <c r="A41" s="8" t="s">
        <v>29</v>
      </c>
      <c r="B41" s="9" t="s">
        <v>54</v>
      </c>
      <c r="C41" s="9" t="s">
        <v>55</v>
      </c>
      <c r="D41" s="9" t="s">
        <v>56</v>
      </c>
      <c r="E41" s="17">
        <v>5</v>
      </c>
      <c r="F41" s="17">
        <v>9000</v>
      </c>
      <c r="G41" s="17">
        <f t="shared" ref="G41:G52" si="2">E41*F41</f>
        <v>45000</v>
      </c>
      <c r="H41" s="18" t="s">
        <v>57</v>
      </c>
    </row>
    <row r="42" spans="1:8" x14ac:dyDescent="0.3">
      <c r="A42" s="5" t="s">
        <v>29</v>
      </c>
      <c r="B42" s="1" t="s">
        <v>58</v>
      </c>
      <c r="C42" s="1" t="s">
        <v>80</v>
      </c>
      <c r="D42" s="1" t="s">
        <v>101</v>
      </c>
      <c r="E42" s="19">
        <v>0.5</v>
      </c>
      <c r="F42" s="14">
        <v>8000</v>
      </c>
      <c r="G42" s="14">
        <f t="shared" si="2"/>
        <v>4000</v>
      </c>
      <c r="H42" s="15" t="s">
        <v>102</v>
      </c>
    </row>
    <row r="43" spans="1:8" x14ac:dyDescent="0.3">
      <c r="A43" s="8" t="s">
        <v>29</v>
      </c>
      <c r="B43" s="9" t="s">
        <v>58</v>
      </c>
      <c r="C43" s="9" t="s">
        <v>103</v>
      </c>
      <c r="D43" s="9" t="s">
        <v>104</v>
      </c>
      <c r="E43" s="16">
        <v>0.5</v>
      </c>
      <c r="F43" s="17">
        <v>5000</v>
      </c>
      <c r="G43" s="17">
        <f t="shared" si="2"/>
        <v>2500</v>
      </c>
      <c r="H43" s="18" t="s">
        <v>105</v>
      </c>
    </row>
    <row r="44" spans="1:8" x14ac:dyDescent="0.3">
      <c r="A44" s="5" t="s">
        <v>29</v>
      </c>
      <c r="B44" s="1" t="s">
        <v>58</v>
      </c>
      <c r="C44" s="1" t="s">
        <v>86</v>
      </c>
      <c r="D44" s="1" t="s">
        <v>106</v>
      </c>
      <c r="E44" s="19">
        <v>0.5</v>
      </c>
      <c r="F44" s="14">
        <v>1500</v>
      </c>
      <c r="G44" s="14">
        <f t="shared" si="2"/>
        <v>750</v>
      </c>
      <c r="H44" s="15" t="s">
        <v>107</v>
      </c>
    </row>
    <row r="45" spans="1:8" x14ac:dyDescent="0.3">
      <c r="A45" s="8" t="s">
        <v>29</v>
      </c>
      <c r="B45" s="9" t="s">
        <v>58</v>
      </c>
      <c r="C45" s="9" t="s">
        <v>108</v>
      </c>
      <c r="D45" s="9" t="s">
        <v>109</v>
      </c>
      <c r="E45" s="16">
        <v>0.5</v>
      </c>
      <c r="F45" s="17">
        <v>1500</v>
      </c>
      <c r="G45" s="17">
        <f t="shared" si="2"/>
        <v>750</v>
      </c>
      <c r="H45" s="18" t="s">
        <v>110</v>
      </c>
    </row>
    <row r="46" spans="1:8" x14ac:dyDescent="0.3">
      <c r="A46" s="5" t="s">
        <v>29</v>
      </c>
      <c r="B46" s="1" t="s">
        <v>58</v>
      </c>
      <c r="C46" s="1" t="s">
        <v>111</v>
      </c>
      <c r="D46" s="1" t="s">
        <v>112</v>
      </c>
      <c r="E46" s="19">
        <v>0.5</v>
      </c>
      <c r="F46" s="14">
        <v>1000</v>
      </c>
      <c r="G46" s="14">
        <f t="shared" si="2"/>
        <v>500</v>
      </c>
      <c r="H46" s="15" t="s">
        <v>113</v>
      </c>
    </row>
    <row r="47" spans="1:8" x14ac:dyDescent="0.3">
      <c r="A47" s="8" t="s">
        <v>29</v>
      </c>
      <c r="B47" s="9" t="s">
        <v>89</v>
      </c>
      <c r="C47" s="9" t="s">
        <v>90</v>
      </c>
      <c r="D47" s="9" t="s">
        <v>114</v>
      </c>
      <c r="E47" s="17">
        <v>20000</v>
      </c>
      <c r="F47" s="16">
        <v>1.4999999999999999E-2</v>
      </c>
      <c r="G47" s="17">
        <f t="shared" si="2"/>
        <v>300</v>
      </c>
      <c r="H47" s="18" t="s">
        <v>115</v>
      </c>
    </row>
    <row r="48" spans="1:8" x14ac:dyDescent="0.3">
      <c r="A48" s="5" t="s">
        <v>29</v>
      </c>
      <c r="B48" s="1" t="s">
        <v>89</v>
      </c>
      <c r="C48" s="1" t="s">
        <v>116</v>
      </c>
      <c r="D48" s="1" t="s">
        <v>117</v>
      </c>
      <c r="E48" s="14">
        <v>1</v>
      </c>
      <c r="F48" s="14">
        <v>8000</v>
      </c>
      <c r="G48" s="14">
        <f t="shared" si="2"/>
        <v>8000</v>
      </c>
      <c r="H48" s="15" t="s">
        <v>118</v>
      </c>
    </row>
    <row r="49" spans="1:8" x14ac:dyDescent="0.3">
      <c r="A49" s="8" t="s">
        <v>29</v>
      </c>
      <c r="B49" s="9" t="s">
        <v>93</v>
      </c>
      <c r="C49" s="9" t="s">
        <v>94</v>
      </c>
      <c r="D49" s="9" t="s">
        <v>119</v>
      </c>
      <c r="E49" s="17">
        <v>20000</v>
      </c>
      <c r="F49" s="16">
        <v>0.06</v>
      </c>
      <c r="G49" s="17">
        <f t="shared" si="2"/>
        <v>1200</v>
      </c>
      <c r="H49" s="18" t="s">
        <v>120</v>
      </c>
    </row>
    <row r="50" spans="1:8" x14ac:dyDescent="0.3">
      <c r="A50" s="5" t="s">
        <v>29</v>
      </c>
      <c r="B50" s="1" t="s">
        <v>93</v>
      </c>
      <c r="C50" s="1" t="s">
        <v>121</v>
      </c>
      <c r="D50" s="1" t="s">
        <v>122</v>
      </c>
      <c r="E50" s="19">
        <v>0.5</v>
      </c>
      <c r="F50" s="14">
        <v>1676</v>
      </c>
      <c r="G50" s="14">
        <f t="shared" si="2"/>
        <v>838</v>
      </c>
      <c r="H50" s="15" t="s">
        <v>123</v>
      </c>
    </row>
    <row r="51" spans="1:8" x14ac:dyDescent="0.3">
      <c r="A51" s="8" t="s">
        <v>29</v>
      </c>
      <c r="B51" s="9" t="s">
        <v>58</v>
      </c>
      <c r="C51" s="9" t="s">
        <v>124</v>
      </c>
      <c r="D51" s="9" t="s">
        <v>125</v>
      </c>
      <c r="E51" s="16">
        <v>0.5</v>
      </c>
      <c r="F51" s="17">
        <v>1500</v>
      </c>
      <c r="G51" s="17">
        <f t="shared" si="2"/>
        <v>750</v>
      </c>
      <c r="H51" s="18" t="s">
        <v>126</v>
      </c>
    </row>
    <row r="52" spans="1:8" x14ac:dyDescent="0.3">
      <c r="A52" s="5" t="s">
        <v>29</v>
      </c>
      <c r="B52" s="1" t="s">
        <v>75</v>
      </c>
      <c r="C52" s="1" t="s">
        <v>76</v>
      </c>
      <c r="D52" s="1" t="s">
        <v>77</v>
      </c>
      <c r="E52" s="14">
        <v>1</v>
      </c>
      <c r="F52" s="14">
        <v>4000</v>
      </c>
      <c r="G52" s="14">
        <f t="shared" si="2"/>
        <v>4000</v>
      </c>
      <c r="H52" s="15" t="s">
        <v>78</v>
      </c>
    </row>
    <row r="53" spans="1:8" x14ac:dyDescent="0.3">
      <c r="A53" s="32" t="s">
        <v>127</v>
      </c>
      <c r="B53" s="33"/>
      <c r="C53" s="33"/>
      <c r="D53" s="33"/>
      <c r="E53" s="33"/>
      <c r="F53" s="33"/>
      <c r="G53" s="20">
        <f>SUM(G41:G52)</f>
        <v>68588</v>
      </c>
      <c r="H53" s="21"/>
    </row>
    <row r="54" spans="1:8" x14ac:dyDescent="0.3">
      <c r="A54" s="8" t="s">
        <v>34</v>
      </c>
      <c r="B54" s="9" t="s">
        <v>54</v>
      </c>
      <c r="C54" s="9" t="s">
        <v>55</v>
      </c>
      <c r="D54" s="9" t="s">
        <v>56</v>
      </c>
      <c r="E54" s="17">
        <v>5</v>
      </c>
      <c r="F54" s="17">
        <v>9000</v>
      </c>
      <c r="G54" s="17">
        <f t="shared" ref="G54:G65" si="3">E54*F54</f>
        <v>45000</v>
      </c>
      <c r="H54" s="18" t="s">
        <v>57</v>
      </c>
    </row>
    <row r="55" spans="1:8" x14ac:dyDescent="0.3">
      <c r="A55" s="5" t="s">
        <v>34</v>
      </c>
      <c r="B55" s="1" t="s">
        <v>58</v>
      </c>
      <c r="C55" s="1" t="s">
        <v>80</v>
      </c>
      <c r="D55" s="1" t="s">
        <v>128</v>
      </c>
      <c r="E55" s="19">
        <v>0.5</v>
      </c>
      <c r="F55" s="14">
        <v>15000</v>
      </c>
      <c r="G55" s="14">
        <f t="shared" si="3"/>
        <v>7500</v>
      </c>
      <c r="H55" s="15" t="s">
        <v>129</v>
      </c>
    </row>
    <row r="56" spans="1:8" ht="28.8" x14ac:dyDescent="0.3">
      <c r="A56" s="8" t="s">
        <v>34</v>
      </c>
      <c r="B56" s="9" t="s">
        <v>58</v>
      </c>
      <c r="C56" s="9" t="s">
        <v>83</v>
      </c>
      <c r="D56" s="9" t="s">
        <v>130</v>
      </c>
      <c r="E56" s="16">
        <v>0.5</v>
      </c>
      <c r="F56" s="17">
        <v>12000</v>
      </c>
      <c r="G56" s="17">
        <f t="shared" si="3"/>
        <v>6000</v>
      </c>
      <c r="H56" s="18" t="s">
        <v>131</v>
      </c>
    </row>
    <row r="57" spans="1:8" x14ac:dyDescent="0.3">
      <c r="A57" s="5" t="s">
        <v>34</v>
      </c>
      <c r="B57" s="1" t="s">
        <v>58</v>
      </c>
      <c r="C57" s="1" t="s">
        <v>86</v>
      </c>
      <c r="D57" s="1" t="s">
        <v>132</v>
      </c>
      <c r="E57" s="19">
        <v>0.5</v>
      </c>
      <c r="F57" s="14">
        <v>4000</v>
      </c>
      <c r="G57" s="14">
        <f t="shared" si="3"/>
        <v>2000</v>
      </c>
      <c r="H57" s="15" t="s">
        <v>133</v>
      </c>
    </row>
    <row r="58" spans="1:8" x14ac:dyDescent="0.3">
      <c r="A58" s="8" t="s">
        <v>34</v>
      </c>
      <c r="B58" s="9" t="s">
        <v>58</v>
      </c>
      <c r="C58" s="9" t="s">
        <v>108</v>
      </c>
      <c r="D58" s="9" t="s">
        <v>134</v>
      </c>
      <c r="E58" s="16">
        <v>0.5</v>
      </c>
      <c r="F58" s="17">
        <v>3000</v>
      </c>
      <c r="G58" s="17">
        <f t="shared" si="3"/>
        <v>1500</v>
      </c>
      <c r="H58" s="18" t="s">
        <v>135</v>
      </c>
    </row>
    <row r="59" spans="1:8" x14ac:dyDescent="0.3">
      <c r="A59" s="5" t="s">
        <v>34</v>
      </c>
      <c r="B59" s="1" t="s">
        <v>58</v>
      </c>
      <c r="C59" s="1" t="s">
        <v>111</v>
      </c>
      <c r="D59" s="1" t="s">
        <v>136</v>
      </c>
      <c r="E59" s="19">
        <v>0.5</v>
      </c>
      <c r="F59" s="14">
        <v>2000</v>
      </c>
      <c r="G59" s="14">
        <f t="shared" si="3"/>
        <v>1000</v>
      </c>
      <c r="H59" s="15" t="s">
        <v>137</v>
      </c>
    </row>
    <row r="60" spans="1:8" x14ac:dyDescent="0.3">
      <c r="A60" s="8" t="s">
        <v>34</v>
      </c>
      <c r="B60" s="9" t="s">
        <v>58</v>
      </c>
      <c r="C60" s="9" t="s">
        <v>124</v>
      </c>
      <c r="D60" s="9" t="s">
        <v>138</v>
      </c>
      <c r="E60" s="16">
        <v>0.5</v>
      </c>
      <c r="F60" s="17">
        <v>3000</v>
      </c>
      <c r="G60" s="17">
        <f t="shared" si="3"/>
        <v>1500</v>
      </c>
      <c r="H60" s="18" t="s">
        <v>139</v>
      </c>
    </row>
    <row r="61" spans="1:8" x14ac:dyDescent="0.3">
      <c r="A61" s="5" t="s">
        <v>34</v>
      </c>
      <c r="B61" s="1" t="s">
        <v>89</v>
      </c>
      <c r="C61" s="1" t="s">
        <v>90</v>
      </c>
      <c r="D61" s="1" t="s">
        <v>140</v>
      </c>
      <c r="E61" s="14">
        <v>75000</v>
      </c>
      <c r="F61" s="19">
        <v>1.2E-2</v>
      </c>
      <c r="G61" s="14">
        <f t="shared" si="3"/>
        <v>900</v>
      </c>
      <c r="H61" s="15" t="s">
        <v>141</v>
      </c>
    </row>
    <row r="62" spans="1:8" x14ac:dyDescent="0.3">
      <c r="A62" s="8" t="s">
        <v>34</v>
      </c>
      <c r="B62" s="9" t="s">
        <v>89</v>
      </c>
      <c r="C62" s="9" t="s">
        <v>116</v>
      </c>
      <c r="D62" s="9" t="s">
        <v>142</v>
      </c>
      <c r="E62" s="17">
        <v>1</v>
      </c>
      <c r="F62" s="17">
        <v>8000</v>
      </c>
      <c r="G62" s="17">
        <f t="shared" si="3"/>
        <v>8000</v>
      </c>
      <c r="H62" s="18" t="s">
        <v>143</v>
      </c>
    </row>
    <row r="63" spans="1:8" x14ac:dyDescent="0.3">
      <c r="A63" s="5" t="s">
        <v>34</v>
      </c>
      <c r="B63" s="1" t="s">
        <v>93</v>
      </c>
      <c r="C63" s="1" t="s">
        <v>94</v>
      </c>
      <c r="D63" s="1" t="s">
        <v>144</v>
      </c>
      <c r="E63" s="14">
        <v>75000</v>
      </c>
      <c r="F63" s="19">
        <v>0.06</v>
      </c>
      <c r="G63" s="14">
        <f t="shared" si="3"/>
        <v>4500</v>
      </c>
      <c r="H63" s="15" t="s">
        <v>145</v>
      </c>
    </row>
    <row r="64" spans="1:8" x14ac:dyDescent="0.3">
      <c r="A64" s="8" t="s">
        <v>34</v>
      </c>
      <c r="B64" s="9" t="s">
        <v>93</v>
      </c>
      <c r="C64" s="9" t="s">
        <v>146</v>
      </c>
      <c r="D64" s="9" t="s">
        <v>147</v>
      </c>
      <c r="E64" s="16">
        <v>0.5</v>
      </c>
      <c r="F64" s="17">
        <v>2940</v>
      </c>
      <c r="G64" s="17">
        <f t="shared" si="3"/>
        <v>1470</v>
      </c>
      <c r="H64" s="18" t="s">
        <v>148</v>
      </c>
    </row>
    <row r="65" spans="1:8" x14ac:dyDescent="0.3">
      <c r="A65" s="5" t="s">
        <v>34</v>
      </c>
      <c r="B65" s="1" t="s">
        <v>75</v>
      </c>
      <c r="C65" s="1" t="s">
        <v>76</v>
      </c>
      <c r="D65" s="1" t="s">
        <v>77</v>
      </c>
      <c r="E65" s="14">
        <v>1</v>
      </c>
      <c r="F65" s="14">
        <v>4000</v>
      </c>
      <c r="G65" s="14">
        <f t="shared" si="3"/>
        <v>4000</v>
      </c>
      <c r="H65" s="15" t="s">
        <v>78</v>
      </c>
    </row>
    <row r="66" spans="1:8" x14ac:dyDescent="0.3">
      <c r="A66" s="32" t="s">
        <v>149</v>
      </c>
      <c r="B66" s="33"/>
      <c r="C66" s="33"/>
      <c r="D66" s="33"/>
      <c r="E66" s="33"/>
      <c r="F66" s="33"/>
      <c r="G66" s="20">
        <f>SUM(G54:G65)</f>
        <v>83370</v>
      </c>
      <c r="H66" s="21"/>
    </row>
    <row r="67" spans="1:8" x14ac:dyDescent="0.3">
      <c r="A67" s="8" t="s">
        <v>39</v>
      </c>
      <c r="B67" s="9" t="s">
        <v>58</v>
      </c>
      <c r="C67" s="9" t="s">
        <v>80</v>
      </c>
      <c r="D67" s="9" t="s">
        <v>150</v>
      </c>
      <c r="E67" s="17">
        <v>1</v>
      </c>
      <c r="F67" s="17">
        <v>15000</v>
      </c>
      <c r="G67" s="17">
        <f t="shared" ref="G67:G79" si="4">E67*F67</f>
        <v>15000</v>
      </c>
      <c r="H67" s="18" t="s">
        <v>151</v>
      </c>
    </row>
    <row r="68" spans="1:8" x14ac:dyDescent="0.3">
      <c r="A68" s="5" t="s">
        <v>39</v>
      </c>
      <c r="B68" s="1" t="s">
        <v>58</v>
      </c>
      <c r="C68" s="1" t="s">
        <v>83</v>
      </c>
      <c r="D68" s="1" t="s">
        <v>150</v>
      </c>
      <c r="E68" s="14">
        <v>1</v>
      </c>
      <c r="F68" s="14">
        <v>12000</v>
      </c>
      <c r="G68" s="14">
        <f t="shared" si="4"/>
        <v>12000</v>
      </c>
      <c r="H68" s="15" t="s">
        <v>151</v>
      </c>
    </row>
    <row r="69" spans="1:8" x14ac:dyDescent="0.3">
      <c r="A69" s="8" t="s">
        <v>39</v>
      </c>
      <c r="B69" s="9" t="s">
        <v>58</v>
      </c>
      <c r="C69" s="9" t="s">
        <v>86</v>
      </c>
      <c r="D69" s="9" t="s">
        <v>150</v>
      </c>
      <c r="E69" s="17">
        <v>1</v>
      </c>
      <c r="F69" s="17">
        <v>4000</v>
      </c>
      <c r="G69" s="17">
        <f t="shared" si="4"/>
        <v>4000</v>
      </c>
      <c r="H69" s="18" t="s">
        <v>151</v>
      </c>
    </row>
    <row r="70" spans="1:8" x14ac:dyDescent="0.3">
      <c r="A70" s="5" t="s">
        <v>39</v>
      </c>
      <c r="B70" s="1" t="s">
        <v>58</v>
      </c>
      <c r="C70" s="1" t="s">
        <v>108</v>
      </c>
      <c r="D70" s="1" t="s">
        <v>150</v>
      </c>
      <c r="E70" s="14">
        <v>1</v>
      </c>
      <c r="F70" s="14">
        <v>3000</v>
      </c>
      <c r="G70" s="14">
        <f t="shared" si="4"/>
        <v>3000</v>
      </c>
      <c r="H70" s="15" t="s">
        <v>151</v>
      </c>
    </row>
    <row r="71" spans="1:8" x14ac:dyDescent="0.3">
      <c r="A71" s="8" t="s">
        <v>39</v>
      </c>
      <c r="B71" s="9" t="s">
        <v>58</v>
      </c>
      <c r="C71" s="9" t="s">
        <v>111</v>
      </c>
      <c r="D71" s="9" t="s">
        <v>150</v>
      </c>
      <c r="E71" s="17">
        <v>1</v>
      </c>
      <c r="F71" s="17">
        <v>2000</v>
      </c>
      <c r="G71" s="17">
        <f t="shared" si="4"/>
        <v>2000</v>
      </c>
      <c r="H71" s="18" t="s">
        <v>151</v>
      </c>
    </row>
    <row r="72" spans="1:8" x14ac:dyDescent="0.3">
      <c r="A72" s="5" t="s">
        <v>39</v>
      </c>
      <c r="B72" s="1" t="s">
        <v>58</v>
      </c>
      <c r="C72" s="1" t="s">
        <v>124</v>
      </c>
      <c r="D72" s="1" t="s">
        <v>150</v>
      </c>
      <c r="E72" s="14">
        <v>1</v>
      </c>
      <c r="F72" s="14">
        <v>3000</v>
      </c>
      <c r="G72" s="14">
        <f t="shared" si="4"/>
        <v>3000</v>
      </c>
      <c r="H72" s="15" t="s">
        <v>151</v>
      </c>
    </row>
    <row r="73" spans="1:8" x14ac:dyDescent="0.3">
      <c r="A73" s="8" t="s">
        <v>39</v>
      </c>
      <c r="B73" s="9" t="s">
        <v>89</v>
      </c>
      <c r="C73" s="9" t="s">
        <v>90</v>
      </c>
      <c r="D73" s="9" t="s">
        <v>150</v>
      </c>
      <c r="E73" s="17">
        <v>1</v>
      </c>
      <c r="F73" s="17">
        <v>1200</v>
      </c>
      <c r="G73" s="17">
        <f t="shared" si="4"/>
        <v>1200</v>
      </c>
      <c r="H73" s="18" t="s">
        <v>151</v>
      </c>
    </row>
    <row r="74" spans="1:8" x14ac:dyDescent="0.3">
      <c r="A74" s="5" t="s">
        <v>39</v>
      </c>
      <c r="B74" s="1" t="s">
        <v>89</v>
      </c>
      <c r="C74" s="1" t="s">
        <v>116</v>
      </c>
      <c r="D74" s="1" t="s">
        <v>152</v>
      </c>
      <c r="E74" s="14">
        <v>1</v>
      </c>
      <c r="F74" s="14">
        <v>5000</v>
      </c>
      <c r="G74" s="14">
        <f t="shared" si="4"/>
        <v>5000</v>
      </c>
      <c r="H74" s="15" t="s">
        <v>153</v>
      </c>
    </row>
    <row r="75" spans="1:8" x14ac:dyDescent="0.3">
      <c r="A75" s="8" t="s">
        <v>39</v>
      </c>
      <c r="B75" s="9" t="s">
        <v>93</v>
      </c>
      <c r="C75" s="9" t="s">
        <v>94</v>
      </c>
      <c r="D75" s="9" t="s">
        <v>150</v>
      </c>
      <c r="E75" s="17">
        <v>1</v>
      </c>
      <c r="F75" s="17">
        <v>6000</v>
      </c>
      <c r="G75" s="17">
        <f t="shared" si="4"/>
        <v>6000</v>
      </c>
      <c r="H75" s="18" t="s">
        <v>151</v>
      </c>
    </row>
    <row r="76" spans="1:8" x14ac:dyDescent="0.3">
      <c r="A76" s="5" t="s">
        <v>39</v>
      </c>
      <c r="B76" s="1" t="s">
        <v>93</v>
      </c>
      <c r="C76" s="1" t="s">
        <v>146</v>
      </c>
      <c r="D76" s="1" t="s">
        <v>150</v>
      </c>
      <c r="E76" s="14">
        <v>1</v>
      </c>
      <c r="F76" s="14">
        <v>2940</v>
      </c>
      <c r="G76" s="14">
        <f t="shared" si="4"/>
        <v>2940</v>
      </c>
      <c r="H76" s="15" t="s">
        <v>151</v>
      </c>
    </row>
    <row r="77" spans="1:8" x14ac:dyDescent="0.3">
      <c r="A77" s="8" t="s">
        <v>39</v>
      </c>
      <c r="B77" s="9" t="s">
        <v>58</v>
      </c>
      <c r="C77" s="9" t="s">
        <v>154</v>
      </c>
      <c r="D77" s="9" t="s">
        <v>150</v>
      </c>
      <c r="E77" s="17">
        <v>1</v>
      </c>
      <c r="F77" s="17">
        <v>1500</v>
      </c>
      <c r="G77" s="17">
        <f t="shared" si="4"/>
        <v>1500</v>
      </c>
      <c r="H77" s="18" t="s">
        <v>151</v>
      </c>
    </row>
    <row r="78" spans="1:8" x14ac:dyDescent="0.3">
      <c r="A78" s="5" t="s">
        <v>39</v>
      </c>
      <c r="B78" s="1" t="s">
        <v>58</v>
      </c>
      <c r="C78" s="1" t="s">
        <v>155</v>
      </c>
      <c r="D78" s="1" t="s">
        <v>150</v>
      </c>
      <c r="E78" s="14">
        <v>1</v>
      </c>
      <c r="F78" s="14">
        <v>750</v>
      </c>
      <c r="G78" s="14">
        <f t="shared" si="4"/>
        <v>750</v>
      </c>
      <c r="H78" s="15" t="s">
        <v>151</v>
      </c>
    </row>
    <row r="79" spans="1:8" x14ac:dyDescent="0.3">
      <c r="A79" s="8" t="s">
        <v>39</v>
      </c>
      <c r="B79" s="9" t="s">
        <v>75</v>
      </c>
      <c r="C79" s="9" t="s">
        <v>76</v>
      </c>
      <c r="D79" s="9" t="s">
        <v>77</v>
      </c>
      <c r="E79" s="17">
        <v>1</v>
      </c>
      <c r="F79" s="17">
        <v>2500</v>
      </c>
      <c r="G79" s="17">
        <f t="shared" si="4"/>
        <v>2500</v>
      </c>
      <c r="H79" s="18" t="s">
        <v>78</v>
      </c>
    </row>
    <row r="80" spans="1:8" x14ac:dyDescent="0.3">
      <c r="A80" s="34" t="s">
        <v>156</v>
      </c>
      <c r="B80" s="35"/>
      <c r="C80" s="35"/>
      <c r="D80" s="35"/>
      <c r="E80" s="35"/>
      <c r="F80" s="35"/>
      <c r="G80" s="22">
        <f>SUM(G67:G79)</f>
        <v>58890</v>
      </c>
      <c r="H80" s="23"/>
    </row>
    <row r="83" spans="1:8" x14ac:dyDescent="0.3">
      <c r="A83" s="29" t="s">
        <v>157</v>
      </c>
      <c r="B83" s="30"/>
      <c r="C83" s="30"/>
      <c r="D83" s="30"/>
      <c r="E83" s="30"/>
      <c r="F83" s="30"/>
      <c r="G83" s="30"/>
      <c r="H83" s="31"/>
    </row>
    <row r="84" spans="1:8" x14ac:dyDescent="0.3">
      <c r="A84" s="51" t="s">
        <v>158</v>
      </c>
      <c r="B84" s="33"/>
      <c r="C84" s="33"/>
      <c r="D84" s="33"/>
      <c r="E84" s="33"/>
      <c r="F84" s="33"/>
      <c r="G84" s="33"/>
      <c r="H84" s="39"/>
    </row>
    <row r="85" spans="1:8" x14ac:dyDescent="0.3">
      <c r="A85" s="2" t="s">
        <v>159</v>
      </c>
      <c r="B85" s="46" t="s">
        <v>160</v>
      </c>
      <c r="C85" s="46"/>
      <c r="D85" s="46"/>
      <c r="E85" s="46"/>
      <c r="F85" s="46"/>
      <c r="G85" s="46"/>
      <c r="H85" s="47"/>
    </row>
    <row r="86" spans="1:8" x14ac:dyDescent="0.3">
      <c r="A86" s="24" t="s">
        <v>161</v>
      </c>
      <c r="B86" s="38">
        <f>G31+G40+G53+G66</f>
        <v>263958</v>
      </c>
      <c r="C86" s="33"/>
      <c r="D86" s="33"/>
      <c r="E86" s="33"/>
      <c r="F86" s="33"/>
      <c r="G86" s="33"/>
      <c r="H86" s="39"/>
    </row>
    <row r="87" spans="1:8" x14ac:dyDescent="0.3">
      <c r="A87" s="25" t="s">
        <v>162</v>
      </c>
      <c r="B87" s="57">
        <f>G80*12</f>
        <v>706680</v>
      </c>
      <c r="C87" s="44"/>
      <c r="D87" s="44"/>
      <c r="E87" s="44"/>
      <c r="F87" s="44"/>
      <c r="G87" s="44"/>
      <c r="H87" s="45"/>
    </row>
    <row r="88" spans="1:8" x14ac:dyDescent="0.3">
      <c r="A88" s="24" t="s">
        <v>163</v>
      </c>
      <c r="B88" s="56">
        <f>G80/272</f>
        <v>216.50735294117646</v>
      </c>
      <c r="C88" s="33"/>
      <c r="D88" s="33"/>
      <c r="E88" s="33"/>
      <c r="F88" s="33"/>
      <c r="G88" s="33"/>
      <c r="H88" s="39"/>
    </row>
    <row r="89" spans="1:8" x14ac:dyDescent="0.3">
      <c r="A89" s="25" t="s">
        <v>164</v>
      </c>
      <c r="B89" s="43">
        <f>G80/100000</f>
        <v>0.58889999999999998</v>
      </c>
      <c r="C89" s="44"/>
      <c r="D89" s="44"/>
      <c r="E89" s="44"/>
      <c r="F89" s="44"/>
      <c r="G89" s="44"/>
      <c r="H89" s="45"/>
    </row>
    <row r="90" spans="1:8" x14ac:dyDescent="0.3">
      <c r="A90" s="24" t="s">
        <v>165</v>
      </c>
      <c r="B90" s="38">
        <v>200000000</v>
      </c>
      <c r="C90" s="33"/>
      <c r="D90" s="33"/>
      <c r="E90" s="33"/>
      <c r="F90" s="33"/>
      <c r="G90" s="33"/>
      <c r="H90" s="39"/>
    </row>
    <row r="91" spans="1:8" x14ac:dyDescent="0.3">
      <c r="A91" s="25" t="s">
        <v>166</v>
      </c>
      <c r="B91" s="43">
        <f>G80*12/200000000</f>
        <v>3.5333999999999999E-3</v>
      </c>
      <c r="C91" s="44"/>
      <c r="D91" s="44"/>
      <c r="E91" s="44"/>
      <c r="F91" s="44"/>
      <c r="G91" s="44"/>
      <c r="H91" s="45"/>
    </row>
    <row r="92" spans="1:8" x14ac:dyDescent="0.3">
      <c r="A92" s="24" t="s">
        <v>167</v>
      </c>
      <c r="B92" s="38">
        <v>272</v>
      </c>
      <c r="C92" s="33"/>
      <c r="D92" s="33"/>
      <c r="E92" s="33"/>
      <c r="F92" s="33"/>
      <c r="G92" s="33"/>
      <c r="H92" s="39"/>
    </row>
    <row r="93" spans="1:8" x14ac:dyDescent="0.3">
      <c r="A93" s="25" t="s">
        <v>168</v>
      </c>
      <c r="B93" s="53" t="s">
        <v>11</v>
      </c>
      <c r="C93" s="44"/>
      <c r="D93" s="44"/>
      <c r="E93" s="44"/>
      <c r="F93" s="44"/>
      <c r="G93" s="44"/>
      <c r="H93" s="45"/>
    </row>
    <row r="94" spans="1:8" x14ac:dyDescent="0.3">
      <c r="A94" s="24" t="s">
        <v>169</v>
      </c>
      <c r="B94" s="38">
        <v>1200000</v>
      </c>
      <c r="C94" s="33"/>
      <c r="D94" s="33"/>
      <c r="E94" s="33"/>
      <c r="F94" s="33"/>
      <c r="G94" s="33"/>
      <c r="H94" s="39"/>
    </row>
    <row r="95" spans="1:8" x14ac:dyDescent="0.3">
      <c r="A95" s="26"/>
      <c r="B95" s="27"/>
      <c r="C95" s="27"/>
      <c r="D95" s="27"/>
      <c r="E95" s="27"/>
      <c r="F95" s="27"/>
      <c r="G95" s="27"/>
      <c r="H95" s="28"/>
    </row>
    <row r="96" spans="1:8" x14ac:dyDescent="0.3">
      <c r="A96" s="48" t="s">
        <v>170</v>
      </c>
      <c r="B96" s="33"/>
      <c r="C96" s="33"/>
      <c r="D96" s="33"/>
      <c r="E96" s="33"/>
      <c r="F96" s="33"/>
      <c r="G96" s="33"/>
      <c r="H96" s="39"/>
    </row>
    <row r="97" spans="1:8" x14ac:dyDescent="0.3">
      <c r="A97" s="49"/>
      <c r="B97" s="35"/>
      <c r="C97" s="35"/>
      <c r="D97" s="35"/>
      <c r="E97" s="35"/>
      <c r="F97" s="35"/>
      <c r="G97" s="35"/>
      <c r="H97" s="37"/>
    </row>
  </sheetData>
  <mergeCells count="34">
    <mergeCell ref="A96:H97"/>
    <mergeCell ref="B91:H91"/>
    <mergeCell ref="C8:H8"/>
    <mergeCell ref="B90:H90"/>
    <mergeCell ref="A84:H84"/>
    <mergeCell ref="A53:F53"/>
    <mergeCell ref="B93:H93"/>
    <mergeCell ref="A31:F31"/>
    <mergeCell ref="B86:H86"/>
    <mergeCell ref="A40:F40"/>
    <mergeCell ref="A8:B8"/>
    <mergeCell ref="A22:H22"/>
    <mergeCell ref="A20:E20"/>
    <mergeCell ref="B88:H88"/>
    <mergeCell ref="A19:E19"/>
    <mergeCell ref="B87:H87"/>
    <mergeCell ref="A1:H1"/>
    <mergeCell ref="A6:B6"/>
    <mergeCell ref="B89:H89"/>
    <mergeCell ref="B85:H85"/>
    <mergeCell ref="B94:H94"/>
    <mergeCell ref="A7:B7"/>
    <mergeCell ref="C7:H7"/>
    <mergeCell ref="A3:H3"/>
    <mergeCell ref="A2:H2"/>
    <mergeCell ref="A5:H5"/>
    <mergeCell ref="C6:H6"/>
    <mergeCell ref="A9:B9"/>
    <mergeCell ref="A83:H83"/>
    <mergeCell ref="A66:F66"/>
    <mergeCell ref="A80:F80"/>
    <mergeCell ref="C9:H9"/>
    <mergeCell ref="B92:H92"/>
    <mergeCell ref="A12:F1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eonvengeance@gmail.com</cp:lastModifiedBy>
  <dcterms:created xsi:type="dcterms:W3CDTF">2026-04-19T08:01:13Z</dcterms:created>
  <dcterms:modified xsi:type="dcterms:W3CDTF">2026-04-19T08:01:25Z</dcterms:modified>
</cp:coreProperties>
</file>